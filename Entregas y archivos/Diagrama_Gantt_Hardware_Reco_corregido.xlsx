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B9D6B7B-BB9E-4492-8CBA-5A8C2F1D8F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D16" i="1"/>
  <c r="F6" i="1"/>
  <c r="E7" i="1" s="1"/>
  <c r="F7" i="1" s="1"/>
  <c r="E8" i="1" s="1"/>
  <c r="F8" i="1" s="1"/>
  <c r="E9" i="1" s="1"/>
  <c r="F9" i="1" s="1"/>
  <c r="E10" i="1" s="1"/>
  <c r="F10" i="1" s="1"/>
  <c r="E11" i="1" s="1"/>
  <c r="F11" i="1" s="1"/>
  <c r="E12" i="1" s="1"/>
  <c r="F12" i="1" s="1"/>
  <c r="E13" i="1" s="1"/>
  <c r="F13" i="1" s="1"/>
  <c r="E14" i="1" s="1"/>
  <c r="F14" i="1" s="1"/>
  <c r="E15" i="1" s="1"/>
  <c r="F15" i="1" s="1"/>
  <c r="F16" i="1" s="1"/>
</calcChain>
</file>

<file path=xl/sharedStrings.xml><?xml version="1.0" encoding="utf-8"?>
<sst xmlns="http://schemas.openxmlformats.org/spreadsheetml/2006/main" count="97" uniqueCount="70">
  <si>
    <t>DIAGRAMA DE GANTT | HARDWARE &amp; RECO</t>
  </si>
  <si>
    <t>Proyecto: desarrollo de un sistema de inventario automatizado | Plan ajustado al objetivo de 12 semanas</t>
  </si>
  <si>
    <t>PERÍODO PLANIFICADO: 01/10/2026 – 24/12/2026  |  DURACIÓN TOTAL: 84 días (12 semanas)</t>
  </si>
  <si>
    <t>ACTIVIDADES, RESPONSABLES Y DEPENDENCIAS</t>
  </si>
  <si>
    <t>CRONOGRAMA SEMANAL</t>
  </si>
  <si>
    <t>ID</t>
  </si>
  <si>
    <t>Actividad / hito</t>
  </si>
  <si>
    <t>Responsable</t>
  </si>
  <si>
    <t>Duración
(días)</t>
  </si>
  <si>
    <t>Inicio</t>
  </si>
  <si>
    <t>Fin</t>
  </si>
  <si>
    <t>Precedencia
(FS)</t>
  </si>
  <si>
    <t>Ruta crítica</t>
  </si>
  <si>
    <t>Tipo</t>
  </si>
  <si>
    <t>S1
01–07 oct</t>
  </si>
  <si>
    <t>S2
08–14 oct</t>
  </si>
  <si>
    <t>S3
15–21 oct</t>
  </si>
  <si>
    <t>S4
22–28 oct</t>
  </si>
  <si>
    <t>S5
29 oct–04 nov</t>
  </si>
  <si>
    <t>S6
05–11 nov</t>
  </si>
  <si>
    <t>S7
12–18 nov</t>
  </si>
  <si>
    <t>S8
19–25 nov</t>
  </si>
  <si>
    <t>S9
26 nov–02 dic</t>
  </si>
  <si>
    <t>S10
03–09 dic</t>
  </si>
  <si>
    <t>S11
10–16 dic</t>
  </si>
  <si>
    <t>S12
17–24 dic</t>
  </si>
  <si>
    <t>T01</t>
  </si>
  <si>
    <t>Análisis</t>
  </si>
  <si>
    <t>Analista funcional</t>
  </si>
  <si>
    <t>—</t>
  </si>
  <si>
    <t>Sí</t>
  </si>
  <si>
    <t>Actividad</t>
  </si>
  <si>
    <t>H01</t>
  </si>
  <si>
    <t>Hito: análisis y requisitos aprobados</t>
  </si>
  <si>
    <t>T01 (FS)</t>
  </si>
  <si>
    <t>Hito</t>
  </si>
  <si>
    <t>◆</t>
  </si>
  <si>
    <t>T02</t>
  </si>
  <si>
    <t>Diseño</t>
  </si>
  <si>
    <t>Arquitecto de software</t>
  </si>
  <si>
    <t>H01 (FS)</t>
  </si>
  <si>
    <t>H02</t>
  </si>
  <si>
    <t>Hito: diseño aprobado</t>
  </si>
  <si>
    <t>T02 (FS)</t>
  </si>
  <si>
    <t>T03</t>
  </si>
  <si>
    <t>Codificación</t>
  </si>
  <si>
    <t>Desarrollador Backend</t>
  </si>
  <si>
    <t>H02 (FS)</t>
  </si>
  <si>
    <t>H03</t>
  </si>
  <si>
    <t>Hito: versión funcional terminada</t>
  </si>
  <si>
    <t>T03 (FS)</t>
  </si>
  <si>
    <t>T04</t>
  </si>
  <si>
    <t>Pruebas de calidad</t>
  </si>
  <si>
    <t>Analista QA</t>
  </si>
  <si>
    <t>H03 (FS)</t>
  </si>
  <si>
    <t>H04</t>
  </si>
  <si>
    <t>Hito: pruebas aprobadas</t>
  </si>
  <si>
    <t>T04 (FS)</t>
  </si>
  <si>
    <t>T05</t>
  </si>
  <si>
    <t>Implementación</t>
  </si>
  <si>
    <t>Administrador de Sistemas</t>
  </si>
  <si>
    <t>H04 (FS)</t>
  </si>
  <si>
    <t>H05</t>
  </si>
  <si>
    <t>Hito: sistema implementado y disponible</t>
  </si>
  <si>
    <t>T05 (FS)</t>
  </si>
  <si>
    <t>TOTAL</t>
  </si>
  <si>
    <t>Duración completa del proyecto</t>
  </si>
  <si>
    <t>Cadena completa</t>
  </si>
  <si>
    <t>84 días / 12 sem.</t>
  </si>
  <si>
    <t>Resumen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</si>
</sst>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</font>
    <font>
      <sz val="10"/>
      <color rgb="FF1F2937"/>
      <name val="Aptos"/>
    </font>
    <font>
      <b/>
      <sz val="17"/>
      <color rgb="FFFFFFFF"/>
      <name val="Aptos Display"/>
    </font>
    <font>
      <i/>
      <sz val="10"/>
      <color rgb="FF20364F"/>
      <name val="Aptos"/>
    </font>
    <font>
      <b/>
      <sz val="10"/>
      <color rgb="FF20364F"/>
      <name val="Aptos"/>
    </font>
    <font>
      <b/>
      <sz val="10"/>
      <color rgb="FFFFFFFF"/>
      <name val="Aptos"/>
    </font>
    <font>
      <b/>
      <sz val="9"/>
      <color rgb="FFFFFFFF"/>
      <name val="Aptos"/>
    </font>
    <font>
      <b/>
      <sz val="8"/>
      <color rgb="FFFFFFFF"/>
      <name val="Aptos"/>
    </font>
    <font>
      <b/>
      <sz val="13"/>
      <color rgb="FF5B3A00"/>
      <name val="Aptos"/>
    </font>
    <font>
      <sz val="9"/>
      <color rgb="FF5B4A23"/>
      <name val="Aptos"/>
    </font>
    <font>
      <b/>
      <sz val="9"/>
      <color rgb="FF991B1B"/>
      <name val="Aptos"/>
    </font>
    <font>
      <b/>
      <sz val="9"/>
      <color rgb="FF5B4A23"/>
      <name val="Aptos"/>
    </font>
    <font>
      <b/>
      <sz val="10"/>
      <color rgb="FF991B1B"/>
      <name val="Aptos"/>
    </font>
    <font>
      <b/>
      <sz val="10"/>
      <color rgb="FF8E2424"/>
      <name val="Aptos"/>
    </font>
    <font>
      <sz val="9"/>
      <color rgb="FF344256"/>
      <name val="Aptos"/>
    </font>
    <font>
      <b/>
      <sz val="10"/>
      <color rgb="FF5B3A00"/>
      <name val="Aptos"/>
    </font>
  </fonts>
  <fills count="13">
    <fill>
      <patternFill patternType="none"/>
    </fill>
    <fill>
      <patternFill patternType="gray125"/>
    </fill>
    <fill>
      <patternFill patternType="solid">
        <fgColor rgb="FFC63D3D"/>
      </patternFill>
    </fill>
    <fill>
      <patternFill patternType="solid">
        <fgColor rgb="FFF4B942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62C46"/>
      </patternFill>
    </fill>
    <fill>
      <patternFill patternType="solid">
        <fgColor rgb="FFDCE6F1"/>
      </patternFill>
    </fill>
    <fill>
      <patternFill patternType="solid">
        <fgColor rgb="FFEAF1F8"/>
      </patternFill>
    </fill>
    <fill>
      <patternFill patternType="solid">
        <fgColor rgb="FF24527A"/>
      </patternFill>
    </fill>
    <fill>
      <patternFill patternType="solid">
        <fgColor rgb="FF2F6B8F"/>
      </patternFill>
    </fill>
    <fill>
      <patternFill patternType="solid">
        <fgColor rgb="FFFFF6D8"/>
      </patternFill>
    </fill>
    <fill>
      <patternFill patternType="solid">
        <fgColor rgb="FFFCE0E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vertical="center" wrapText="1"/>
    </xf>
    <xf numFmtId="0" fontId="10" fillId="12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14" fontId="9" fillId="11" borderId="0" xfId="0" applyNumberFormat="1" applyFont="1" applyFill="1" applyAlignment="1">
      <alignment horizontal="center" vertical="center" wrapText="1"/>
    </xf>
    <xf numFmtId="14" fontId="11" fillId="11" borderId="0" xfId="0" applyNumberFormat="1" applyFont="1" applyFill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 wrapText="1"/>
    </xf>
    <xf numFmtId="14" fontId="1" fillId="5" borderId="0" xfId="0" applyNumberFormat="1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5" borderId="5" xfId="0" applyFont="1" applyFill="1" applyBorder="1" applyAlignment="1">
      <alignment vertical="center" wrapText="1"/>
    </xf>
    <xf numFmtId="0" fontId="8" fillId="3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1" fontId="5" fillId="4" borderId="7" xfId="0" applyNumberFormat="1" applyFont="1" applyFill="1" applyBorder="1" applyAlignment="1">
      <alignment horizontal="center" vertical="center" wrapText="1"/>
    </xf>
    <xf numFmtId="14" fontId="5" fillId="4" borderId="7" xfId="0" applyNumberFormat="1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4" fillId="0" borderId="9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5" fillId="0" borderId="9" xfId="0" applyFont="1" applyFill="1" applyBorder="1" applyAlignment="1">
      <alignment vertical="center"/>
    </xf>
    <xf numFmtId="0" fontId="15" fillId="0" borderId="9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workbookViewId="0">
      <pane ySplit="5" topLeftCell="A6" activePane="bottomLeft" state="frozen"/>
      <selection pane="bottomLeft" activeCell="B8" sqref="B8"/>
    </sheetView>
  </sheetViews>
  <sheetFormatPr baseColWidth="10" defaultColWidth="9.140625" defaultRowHeight="15" x14ac:dyDescent="0.25"/>
  <cols>
    <col min="1" max="1" width="7" customWidth="1"/>
    <col min="2" max="2" width="38" customWidth="1"/>
    <col min="3" max="3" width="24" customWidth="1"/>
    <col min="4" max="4" width="11" customWidth="1"/>
    <col min="5" max="9" width="13" customWidth="1"/>
    <col min="10" max="21" width="10" customWidth="1"/>
  </cols>
  <sheetData>
    <row r="1" spans="1:21" ht="32.1" customHeight="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1" ht="30" customHeight="1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pans="1:21" ht="24" customHeight="1" x14ac:dyDescent="0.25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1" ht="23.1" customHeight="1" x14ac:dyDescent="0.25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 t="s">
        <v>4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</row>
    <row r="5" spans="1:21" ht="42" customHeight="1" x14ac:dyDescent="0.25">
      <c r="A5" s="8" t="s">
        <v>5</v>
      </c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9" t="s">
        <v>13</v>
      </c>
      <c r="J5" s="10" t="s">
        <v>14</v>
      </c>
      <c r="K5" s="10" t="s">
        <v>15</v>
      </c>
      <c r="L5" s="10" t="s">
        <v>16</v>
      </c>
      <c r="M5" s="10" t="s">
        <v>17</v>
      </c>
      <c r="N5" s="10" t="s">
        <v>18</v>
      </c>
      <c r="O5" s="10" t="s">
        <v>19</v>
      </c>
      <c r="P5" s="10" t="s">
        <v>20</v>
      </c>
      <c r="Q5" s="10" t="s">
        <v>21</v>
      </c>
      <c r="R5" s="10" t="s">
        <v>22</v>
      </c>
      <c r="S5" s="10" t="s">
        <v>23</v>
      </c>
      <c r="T5" s="10" t="s">
        <v>24</v>
      </c>
      <c r="U5" s="11" t="s">
        <v>25</v>
      </c>
    </row>
    <row r="6" spans="1:21" ht="27" customHeight="1" x14ac:dyDescent="0.25">
      <c r="A6" s="14" t="s">
        <v>26</v>
      </c>
      <c r="B6" s="1" t="s">
        <v>27</v>
      </c>
      <c r="C6" s="1" t="s">
        <v>28</v>
      </c>
      <c r="D6" s="1">
        <v>14</v>
      </c>
      <c r="E6" s="16">
        <v>46296</v>
      </c>
      <c r="F6" s="16">
        <f>E6+D6</f>
        <v>46310</v>
      </c>
      <c r="G6" s="1" t="s">
        <v>29</v>
      </c>
      <c r="H6" s="17" t="s">
        <v>30</v>
      </c>
      <c r="I6" s="15" t="s">
        <v>31</v>
      </c>
      <c r="J6" s="18"/>
      <c r="K6" s="18"/>
      <c r="L6" s="15"/>
      <c r="M6" s="15"/>
      <c r="N6" s="15"/>
      <c r="O6" s="15"/>
      <c r="P6" s="15"/>
      <c r="Q6" s="15"/>
      <c r="R6" s="15"/>
      <c r="S6" s="15"/>
      <c r="T6" s="15"/>
      <c r="U6" s="19"/>
    </row>
    <row r="7" spans="1:21" ht="33.950000000000003" customHeight="1" x14ac:dyDescent="0.25">
      <c r="A7" s="12" t="s">
        <v>32</v>
      </c>
      <c r="B7" s="4" t="s">
        <v>33</v>
      </c>
      <c r="C7" s="4" t="s">
        <v>28</v>
      </c>
      <c r="D7" s="4">
        <v>0</v>
      </c>
      <c r="E7" s="6">
        <f t="shared" ref="E7:E15" si="0">F6</f>
        <v>46310</v>
      </c>
      <c r="F7" s="6">
        <f>E7</f>
        <v>46310</v>
      </c>
      <c r="G7" s="4" t="s">
        <v>34</v>
      </c>
      <c r="H7" s="3" t="s">
        <v>30</v>
      </c>
      <c r="I7" s="2" t="s">
        <v>35</v>
      </c>
      <c r="J7" s="15"/>
      <c r="K7" s="15"/>
      <c r="L7" s="20" t="s">
        <v>36</v>
      </c>
      <c r="M7" s="15"/>
      <c r="N7" s="15"/>
      <c r="O7" s="15"/>
      <c r="P7" s="15"/>
      <c r="Q7" s="15"/>
      <c r="R7" s="15"/>
      <c r="S7" s="15"/>
      <c r="T7" s="15"/>
      <c r="U7" s="19"/>
    </row>
    <row r="8" spans="1:21" ht="27" customHeight="1" x14ac:dyDescent="0.25">
      <c r="A8" s="14" t="s">
        <v>37</v>
      </c>
      <c r="B8" s="1" t="s">
        <v>38</v>
      </c>
      <c r="C8" s="1" t="s">
        <v>39</v>
      </c>
      <c r="D8" s="1">
        <v>14</v>
      </c>
      <c r="E8" s="16">
        <f t="shared" si="0"/>
        <v>46310</v>
      </c>
      <c r="F8" s="16">
        <f>E8+D8</f>
        <v>46324</v>
      </c>
      <c r="G8" s="1" t="s">
        <v>40</v>
      </c>
      <c r="H8" s="17" t="s">
        <v>30</v>
      </c>
      <c r="I8" s="15" t="s">
        <v>31</v>
      </c>
      <c r="J8" s="15"/>
      <c r="K8" s="15"/>
      <c r="L8" s="18"/>
      <c r="M8" s="18"/>
      <c r="N8" s="15"/>
      <c r="O8" s="15"/>
      <c r="P8" s="15"/>
      <c r="Q8" s="15"/>
      <c r="R8" s="15"/>
      <c r="S8" s="15"/>
      <c r="T8" s="15"/>
      <c r="U8" s="19"/>
    </row>
    <row r="9" spans="1:21" ht="33.950000000000003" customHeight="1" x14ac:dyDescent="0.25">
      <c r="A9" s="12" t="s">
        <v>41</v>
      </c>
      <c r="B9" s="4" t="s">
        <v>42</v>
      </c>
      <c r="C9" s="5" t="s">
        <v>39</v>
      </c>
      <c r="D9" s="5">
        <v>0</v>
      </c>
      <c r="E9" s="7">
        <f t="shared" si="0"/>
        <v>46324</v>
      </c>
      <c r="F9" s="6">
        <f>E9</f>
        <v>46324</v>
      </c>
      <c r="G9" s="4" t="s">
        <v>43</v>
      </c>
      <c r="H9" s="3" t="s">
        <v>30</v>
      </c>
      <c r="I9" s="2" t="s">
        <v>35</v>
      </c>
      <c r="J9" s="15"/>
      <c r="K9" s="15"/>
      <c r="L9" s="15"/>
      <c r="M9" s="15"/>
      <c r="N9" s="20" t="s">
        <v>36</v>
      </c>
      <c r="O9" s="15"/>
      <c r="P9" s="15"/>
      <c r="Q9" s="15"/>
      <c r="R9" s="15"/>
      <c r="S9" s="15"/>
      <c r="T9" s="15"/>
      <c r="U9" s="19"/>
    </row>
    <row r="10" spans="1:21" ht="27" customHeight="1" x14ac:dyDescent="0.25">
      <c r="A10" s="14" t="s">
        <v>44</v>
      </c>
      <c r="B10" s="1" t="s">
        <v>45</v>
      </c>
      <c r="C10" s="16" t="s">
        <v>46</v>
      </c>
      <c r="D10" s="1">
        <v>28</v>
      </c>
      <c r="E10" s="16">
        <f t="shared" si="0"/>
        <v>46324</v>
      </c>
      <c r="F10" s="16">
        <f>E10+D10</f>
        <v>46352</v>
      </c>
      <c r="G10" s="1" t="s">
        <v>47</v>
      </c>
      <c r="H10" s="17" t="s">
        <v>30</v>
      </c>
      <c r="I10" s="15" t="s">
        <v>31</v>
      </c>
      <c r="J10" s="15"/>
      <c r="K10" s="15"/>
      <c r="L10" s="15"/>
      <c r="M10" s="15"/>
      <c r="N10" s="18"/>
      <c r="O10" s="18"/>
      <c r="P10" s="18"/>
      <c r="Q10" s="18"/>
      <c r="R10" s="15"/>
      <c r="S10" s="15"/>
      <c r="T10" s="15"/>
      <c r="U10" s="19"/>
    </row>
    <row r="11" spans="1:21" ht="33.950000000000003" customHeight="1" x14ac:dyDescent="0.25">
      <c r="A11" s="12" t="s">
        <v>48</v>
      </c>
      <c r="B11" s="4" t="s">
        <v>49</v>
      </c>
      <c r="C11" s="6" t="s">
        <v>46</v>
      </c>
      <c r="D11" s="4">
        <v>0</v>
      </c>
      <c r="E11" s="6">
        <f t="shared" si="0"/>
        <v>46352</v>
      </c>
      <c r="F11" s="6">
        <f>E11</f>
        <v>46352</v>
      </c>
      <c r="G11" s="4" t="s">
        <v>50</v>
      </c>
      <c r="H11" s="3" t="s">
        <v>30</v>
      </c>
      <c r="I11" s="2" t="s">
        <v>35</v>
      </c>
      <c r="J11" s="15"/>
      <c r="K11" s="15"/>
      <c r="L11" s="15"/>
      <c r="M11" s="15"/>
      <c r="N11" s="15"/>
      <c r="O11" s="15"/>
      <c r="P11" s="15"/>
      <c r="Q11" s="15"/>
      <c r="R11" s="20" t="s">
        <v>36</v>
      </c>
      <c r="S11" s="15"/>
      <c r="T11" s="15"/>
      <c r="U11" s="19"/>
    </row>
    <row r="12" spans="1:21" ht="27" customHeight="1" x14ac:dyDescent="0.25">
      <c r="A12" s="14" t="s">
        <v>51</v>
      </c>
      <c r="B12" s="1" t="s">
        <v>52</v>
      </c>
      <c r="C12" s="16" t="s">
        <v>53</v>
      </c>
      <c r="D12" s="1">
        <v>14</v>
      </c>
      <c r="E12" s="16">
        <f t="shared" si="0"/>
        <v>46352</v>
      </c>
      <c r="F12" s="16">
        <f>E12+D12</f>
        <v>46366</v>
      </c>
      <c r="G12" s="1" t="s">
        <v>54</v>
      </c>
      <c r="H12" s="17" t="s">
        <v>30</v>
      </c>
      <c r="I12" s="15" t="s">
        <v>31</v>
      </c>
      <c r="J12" s="15"/>
      <c r="K12" s="15"/>
      <c r="L12" s="15"/>
      <c r="M12" s="15"/>
      <c r="N12" s="15"/>
      <c r="O12" s="15"/>
      <c r="P12" s="15"/>
      <c r="Q12" s="15"/>
      <c r="R12" s="18"/>
      <c r="S12" s="18"/>
      <c r="T12" s="15"/>
      <c r="U12" s="19"/>
    </row>
    <row r="13" spans="1:21" ht="33.950000000000003" customHeight="1" x14ac:dyDescent="0.25">
      <c r="A13" s="12" t="s">
        <v>55</v>
      </c>
      <c r="B13" s="4" t="s">
        <v>56</v>
      </c>
      <c r="C13" s="6" t="s">
        <v>53</v>
      </c>
      <c r="D13" s="4">
        <v>0</v>
      </c>
      <c r="E13" s="6">
        <f t="shared" si="0"/>
        <v>46366</v>
      </c>
      <c r="F13" s="6">
        <f>E13</f>
        <v>46366</v>
      </c>
      <c r="G13" s="4" t="s">
        <v>57</v>
      </c>
      <c r="H13" s="3" t="s">
        <v>30</v>
      </c>
      <c r="I13" s="2" t="s">
        <v>35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20" t="s">
        <v>36</v>
      </c>
      <c r="U13" s="19"/>
    </row>
    <row r="14" spans="1:21" ht="27" customHeight="1" x14ac:dyDescent="0.25">
      <c r="A14" s="14" t="s">
        <v>58</v>
      </c>
      <c r="B14" s="1" t="s">
        <v>59</v>
      </c>
      <c r="C14" s="16" t="s">
        <v>60</v>
      </c>
      <c r="D14" s="1">
        <v>14</v>
      </c>
      <c r="E14" s="16">
        <f t="shared" si="0"/>
        <v>46366</v>
      </c>
      <c r="F14" s="16">
        <f>E14+D14</f>
        <v>46380</v>
      </c>
      <c r="G14" s="1" t="s">
        <v>61</v>
      </c>
      <c r="H14" s="17" t="s">
        <v>30</v>
      </c>
      <c r="I14" s="15" t="s">
        <v>31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8"/>
      <c r="U14" s="21"/>
    </row>
    <row r="15" spans="1:21" ht="33.950000000000003" customHeight="1" x14ac:dyDescent="0.25">
      <c r="A15" s="12" t="s">
        <v>62</v>
      </c>
      <c r="B15" s="2" t="s">
        <v>63</v>
      </c>
      <c r="C15" s="2" t="s">
        <v>60</v>
      </c>
      <c r="D15" s="4">
        <v>0</v>
      </c>
      <c r="E15" s="6">
        <f t="shared" si="0"/>
        <v>46380</v>
      </c>
      <c r="F15" s="6">
        <f>E15</f>
        <v>46380</v>
      </c>
      <c r="G15" s="4" t="s">
        <v>64</v>
      </c>
      <c r="H15" s="3" t="s">
        <v>30</v>
      </c>
      <c r="I15" s="2" t="s">
        <v>35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22" t="s">
        <v>36</v>
      </c>
    </row>
    <row r="16" spans="1:21" ht="30" customHeight="1" x14ac:dyDescent="0.25">
      <c r="A16" s="23" t="s">
        <v>65</v>
      </c>
      <c r="B16" s="13" t="s">
        <v>66</v>
      </c>
      <c r="C16" s="13" t="s">
        <v>29</v>
      </c>
      <c r="D16" s="24">
        <f>D6+D8+D10+D12+D14</f>
        <v>84</v>
      </c>
      <c r="E16" s="25">
        <f>E6</f>
        <v>46296</v>
      </c>
      <c r="F16" s="25">
        <f>F15</f>
        <v>46380</v>
      </c>
      <c r="G16" s="13" t="s">
        <v>67</v>
      </c>
      <c r="H16" s="13" t="s">
        <v>68</v>
      </c>
      <c r="I16" s="13" t="s">
        <v>69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26"/>
    </row>
    <row r="17" spans="1:21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spans="1:21" ht="29.1" customHeight="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</row>
    <row r="19" spans="1:21" ht="29.1" customHeight="1" x14ac:dyDescent="0.25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</row>
    <row r="20" spans="1:21" ht="29.1" customHeight="1" x14ac:dyDescent="0.2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</row>
    <row r="21" spans="1:21" ht="29.1" customHeight="1" x14ac:dyDescent="0.2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</row>
    <row r="22" spans="1:21" ht="24.95" customHeight="1" x14ac:dyDescent="0.25">
      <c r="A22" s="34"/>
      <c r="B22" s="34"/>
      <c r="C22" s="34"/>
      <c r="D22" s="35"/>
      <c r="E22" s="35"/>
      <c r="F22" s="35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</row>
    <row r="23" spans="1:21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 spans="1:21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</sheetData>
  <mergeCells count="5">
    <mergeCell ref="A1:U1"/>
    <mergeCell ref="A2:U2"/>
    <mergeCell ref="A3:U3"/>
    <mergeCell ref="A4:I4"/>
    <mergeCell ref="J4: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Joel Roth</cp:lastModifiedBy>
  <dcterms:modified xsi:type="dcterms:W3CDTF">2026-10-14T18:19:16Z</dcterms:modified>
</cp:coreProperties>
</file>